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1" hidePivotFieldList="1"/>
  <bookViews>
    <workbookView xWindow="0" yWindow="504" windowWidth="23256" windowHeight="1317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29" i="18" s="1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29" i="18" s="1"/>
  <c r="C9" i="18"/>
  <c r="C10" i="18"/>
  <c r="C11" i="18"/>
  <c r="C12" i="18"/>
  <c r="C28" i="18" s="1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F6" i="18"/>
  <c r="F30" i="18" s="1"/>
  <c r="E6" i="18"/>
  <c r="E30" i="18" s="1"/>
  <c r="D6" i="18"/>
  <c r="D30" i="18" s="1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D28" i="18" l="1"/>
  <c r="C30" i="18"/>
  <c r="F29" i="18"/>
  <c r="F28" i="18"/>
  <c r="E29" i="18"/>
  <c r="E28" i="18"/>
  <c r="B28" i="18"/>
  <c r="B29" i="18"/>
  <c r="B30" i="18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<sst xmlns="http://schemas.openxmlformats.org/spreadsheetml/2006/main" count="409" uniqueCount="185">
  <si>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</si>
  <si>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</si>
  <si>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</si>
  <si>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</si>
  <si>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</si>
  <si>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</si>
  <si>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</si>
  <si>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</si>
  <si>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</si>
  <si>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</si>
  <si>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</si>
  <si>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</si>
  <si>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</si>
  <si>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</si>
  <si>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</si>
  <si>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</si>
  <si>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</si>
  <si>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</si>
  <si>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</si>
  <si>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</si>
  <si>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</si>
  <si>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</si>
  <si>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</si>
  <si>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</si>
  <si>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</si>
  <si>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</si>
  <si>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</si>
  <si>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</si>
  <si>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</si>
  <si>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</si>
  <si>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</si>
  <si>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</si>
  <si>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</si>
  <si>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</si>
  <si>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</si>
  <si>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</si>
  <si>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</si>
  <si>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</si>
  <si>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</si>
  <si>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</si>
  <si>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</si>
  <si>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</si>
  <si>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</si>
  <si>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</si>
  <si>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</si>
  <si>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</si>
  <si>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</si>
  <si>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</si>
  <si>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</si>
  <si>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</si>
  <si>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</si>
  <si>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</si>
  <si>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</si>
  <si>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</si>
  <si>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</si>
  <si>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</si>
  <si>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</si>
  <si>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</si>
  <si>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</si>
  <si>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</si>
  <si>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</si>
  <si>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</si>
  <si>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</si>
  <si>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</si>
  <si>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</si>
  <si>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</si>
  <si>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</si>
  <si>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</si>
  <si>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</si>
  <si>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</si>
  <si>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</si>
  <si>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</si>
  <si>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</si>
  <si>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</si>
  <si>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</si>
  <si>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</si>
  <si>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</si>
  <si>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</si>
  <si>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</si>
  <si>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</si>
  <si>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</si>
  <si>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</si>
  <si>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</si>
  <si>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</si>
  <si>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</si>
  <si>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</si>
  <si>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</si>
  <si>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</si>
  <si>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</si>
  <si>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</si>
  <si>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</si>
  <si>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</si>
  <si>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</si>
  <si>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</si>
  <si>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</si>
  <si>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</si>
  <si>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</si>
  <si>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</si>
  <si>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</si>
  <si>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</si>
  <si>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</si>
  <si>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</si>
  <si>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</si>
  <si>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</si>
  <si>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</si>
  <si>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</si>
  <si>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</si>
  <si>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</si>
  <si>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</si>
  <si>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</si>
  <si>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</si>
  <si>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</si>
  <si>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</si>
  <si>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</si>
  <si>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</si>
  <si>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</si>
  <si>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</si>
  <si>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</si>
  <si>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</si>
  <si>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</si>
  <si>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</si>
  <si>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</si>
  <si>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</si>
  <si>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</si>
  <si>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</si>
  <si>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</si>
  <si>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</si>
  <si>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</si>
  <si>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</si>
  <si>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</si>
  <si>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</si>
  <si>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</si>
  <si>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</si>
  <si>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</si>
  <si>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</si>
  <si>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</si>
  <si>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</si>
  <si>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</si>
  <si>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</si>
  <si>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</si>
  <si>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</si>
  <si>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</si>
  <si>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</si>
  <si>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</si>
  <si>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</si>
  <si>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</si>
  <si>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</si>
  <si>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</si>
  <si>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</si>
  <si>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</si>
  <si>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</si>
  <si>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</si>
  <si>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</si>
  <si>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</si>
  <si>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</si>
  <si>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</si>
  <si>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</si>
  <si>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</si>
  <si>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</si>
  <si>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</si>
  <si>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</si>
  <si>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</si>
  <si>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</si>
  <si>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</si>
  <si>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</si>
  <si>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</si>
  <si>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</si>
  <si>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</si>
  <si>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</si>
  <si>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</si>
  <si>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</si>
  <si>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</si>
  <si>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</si>
  <si>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</si>
  <si>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</si>
  <si>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</si>
  <si>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SUMIF(H2:H40,"&gt;20",H2:H41)</t>
  </si>
  <si>
    <t>Done</t>
  </si>
  <si>
    <t xml:space="preserve">Red, Green </t>
  </si>
  <si>
    <t>SUM(IFERROR(C12:C21, 20))</t>
  </si>
  <si>
    <t>if error funtion return #N/A value with 20 and sum return all sum of Sales column</t>
  </si>
  <si>
    <t>INDEX($B$10:$J$18,MATCH(VLOOKUP(A23,$M$9:$N$18,2,0),$A$10:$A$18,0),MATCH(VLOOKUP(B23,$M$9:$N$18,2,0),$B$9:$J$9,0))</t>
  </si>
  <si>
    <t>1) Vlookup function to fetch the values of name_1 and name_2 column of table c from table b</t>
  </si>
  <si>
    <t>2) Index Function to fetch value from table A.</t>
  </si>
  <si>
    <t>3) Match function to fetch value row wise and also column wise.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</si>
</sst>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4" x14ac:dyDescent="0.3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4" t="s">
        <v>170</v>
      </c>
      <c r="B9" s="25" t="s">
        <v>168</v>
      </c>
    </row>
    <row r="10" spans="1:3" x14ac:dyDescent="0.3">
      <c r="A10" s="33" t="s">
        <v>171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84</v>
      </c>
      <c r="B13" s="35">
        <v>20</v>
      </c>
    </row>
    <row r="14" spans="1:3" x14ac:dyDescent="0.3">
      <c r="A14" s="33" t="s">
        <v>97</v>
      </c>
      <c r="B14" s="35">
        <v>40</v>
      </c>
    </row>
    <row r="15" spans="1:3" x14ac:dyDescent="0.3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38" activePane="bottomLeft" state="frozen"/>
      <selection pane="bottomLeft" activeCell="F44" sqref="F44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3" t="s">
        <v>104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3">
      <c r="H41" s="1">
        <f>SUMIF(H2:H40,"&gt;20",H2:H41)</f>
        <v>1473.0000000000002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G1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1" sqref="C1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46</v>
      </c>
      <c r="B1" s="4" t="s">
        <v>47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106</v>
      </c>
      <c r="C3" s="2" t="s">
        <v>178</v>
      </c>
      <c r="E3" s="1">
        <v>5</v>
      </c>
    </row>
    <row r="4" spans="1:5" x14ac:dyDescent="0.3">
      <c r="A4" s="6">
        <v>2</v>
      </c>
      <c r="B4" s="2" t="s">
        <v>45</v>
      </c>
      <c r="C4" s="2" t="s">
        <v>177</v>
      </c>
      <c r="E4" s="1">
        <v>5</v>
      </c>
    </row>
    <row r="5" spans="1:5" x14ac:dyDescent="0.3">
      <c r="A5" s="6">
        <v>3</v>
      </c>
      <c r="B5" s="2" t="s">
        <v>103</v>
      </c>
      <c r="C5" s="32" t="s">
        <v>176</v>
      </c>
      <c r="E5" s="1">
        <v>10</v>
      </c>
    </row>
    <row r="6" spans="1:5" x14ac:dyDescent="0.3">
      <c r="A6" s="6">
        <v>4</v>
      </c>
      <c r="B6" s="2" t="s">
        <v>105</v>
      </c>
      <c r="C6" s="2" t="s">
        <v>177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I10" sqref="I1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54</v>
      </c>
      <c r="B1" s="39" t="s">
        <v>163</v>
      </c>
    </row>
    <row r="2" spans="1:7" s="39" customFormat="1" ht="21" x14ac:dyDescent="0.4">
      <c r="B2" s="39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4" x14ac:dyDescent="0.3">
      <c r="A6" s="7" t="s">
        <v>40</v>
      </c>
      <c r="B6" s="11">
        <f>VLOOKUP(A6,Dataset!A1:$X$40,7,0)</f>
        <v>2.7</v>
      </c>
      <c r="C6" s="11">
        <f>VLOOKUP(A6,Dataset!A1:X40,13,0)</f>
        <v>5.3</v>
      </c>
      <c r="D6" s="11">
        <f>VLOOKUP(A6,Dataset!A1:$X$40,18,0)</f>
        <v>4.2</v>
      </c>
      <c r="E6" s="11">
        <f>VLOOKUP(A6,Dataset!A1:$X$40,20,0)</f>
        <v>8.9</v>
      </c>
      <c r="F6" s="11">
        <f>VLOOKUP(A6,Dataset!A1:$X$40,22,0)</f>
        <v>4.2</v>
      </c>
    </row>
    <row r="7" spans="1:7" ht="14.4" x14ac:dyDescent="0.3">
      <c r="A7" s="7" t="s">
        <v>4</v>
      </c>
      <c r="B7" s="11">
        <f>VLOOKUP(A7,Dataset!A2:$X$40,7,0)</f>
        <v>2.7</v>
      </c>
      <c r="C7" s="11">
        <f>VLOOKUP(A7,Dataset!A2:X41,13,0)</f>
        <v>5.3</v>
      </c>
      <c r="D7" s="11">
        <f>VLOOKUP(A7,Dataset!A2:$X$40,18,0)</f>
        <v>4.2</v>
      </c>
      <c r="E7" s="11">
        <f>VLOOKUP(A7,Dataset!A2:$X$40,20,0)</f>
        <v>8.9</v>
      </c>
      <c r="F7" s="11">
        <f>VLOOKUP(A7,Dataset!A2:$X$40,22,0)</f>
        <v>4.2</v>
      </c>
    </row>
    <row r="8" spans="1:7" ht="14.4" x14ac:dyDescent="0.3">
      <c r="A8" s="7" t="s">
        <v>7</v>
      </c>
      <c r="B8" s="11">
        <f>VLOOKUP(A8,Dataset!A3:$X$40,7,0)</f>
        <v>3.6</v>
      </c>
      <c r="C8" s="11">
        <f>VLOOKUP(A8,Dataset!A3:X42,13,0)</f>
        <v>7.6</v>
      </c>
      <c r="D8" s="11">
        <f>VLOOKUP(A8,Dataset!A3:$X$40,18,0)</f>
        <v>5.8</v>
      </c>
      <c r="E8" s="11">
        <f>VLOOKUP(A8,Dataset!A3:$X$40,20,0)</f>
        <v>12.2</v>
      </c>
      <c r="F8" s="11">
        <f>VLOOKUP(A8,Dataset!A3:$X$40,22,0)</f>
        <v>5.8</v>
      </c>
    </row>
    <row r="9" spans="1:7" ht="14.4" x14ac:dyDescent="0.3">
      <c r="A9" s="7" t="s">
        <v>8</v>
      </c>
      <c r="B9" s="11">
        <f>VLOOKUP(A9,Dataset!A4:$X$40,7,0)</f>
        <v>4.9000000000000004</v>
      </c>
      <c r="C9" s="11">
        <f>VLOOKUP(A9,Dataset!A4:X43,13,0)</f>
        <v>10</v>
      </c>
      <c r="D9" s="11">
        <f>VLOOKUP(A9,Dataset!A4:$X$40,18,0)</f>
        <v>8.1</v>
      </c>
      <c r="E9" s="11">
        <f>VLOOKUP(A9,Dataset!A4:$X$40,20,0)</f>
        <v>17</v>
      </c>
      <c r="F9" s="11">
        <f>VLOOKUP(A9,Dataset!A4:$X$40,22,0)</f>
        <v>8.1</v>
      </c>
    </row>
    <row r="10" spans="1:7" ht="14.4" x14ac:dyDescent="0.3">
      <c r="A10" s="7" t="s">
        <v>11</v>
      </c>
      <c r="B10" s="11">
        <f>VLOOKUP(A10,Dataset!A5:$X$40,7,0)</f>
        <v>9.4</v>
      </c>
      <c r="C10" s="11">
        <f>VLOOKUP(A10,Dataset!A5:X44,13,0)</f>
        <v>19.2</v>
      </c>
      <c r="D10" s="11">
        <f>VLOOKUP(A10,Dataset!A5:$X$40,18,0)</f>
        <v>16.100000000000001</v>
      </c>
      <c r="E10" s="11">
        <f>VLOOKUP(A10,Dataset!A5:$X$40,20,0)</f>
        <v>32.799999999999997</v>
      </c>
      <c r="F10" s="11">
        <f>VLOOKUP(A10,Dataset!A5:$X$40,22,0)</f>
        <v>16.100000000000001</v>
      </c>
    </row>
    <row r="11" spans="1:7" ht="14.4" x14ac:dyDescent="0.3">
      <c r="A11" s="7" t="s">
        <v>12</v>
      </c>
      <c r="B11" s="11">
        <f>VLOOKUP(A11,Dataset!A6:$X$40,7,0)</f>
        <v>11.6</v>
      </c>
      <c r="C11" s="11">
        <f>VLOOKUP(A11,Dataset!A6:X45,13,0)</f>
        <v>23.6</v>
      </c>
      <c r="D11" s="11">
        <f>VLOOKUP(A11,Dataset!A6:$X$40,18,0)</f>
        <v>21.3</v>
      </c>
      <c r="E11" s="11">
        <f>VLOOKUP(A11,Dataset!A6:$X$40,20,0)</f>
        <v>43</v>
      </c>
      <c r="F11" s="11">
        <f>VLOOKUP(A11,Dataset!A6:$X$40,22,0)</f>
        <v>21.3</v>
      </c>
    </row>
    <row r="12" spans="1:7" ht="14.4" x14ac:dyDescent="0.3">
      <c r="A12" s="7" t="s">
        <v>14</v>
      </c>
      <c r="B12" s="11">
        <f>VLOOKUP(A12,Dataset!A7:$X$40,7,0)</f>
        <v>18.399999999999999</v>
      </c>
      <c r="C12" s="11">
        <f>VLOOKUP(A12,Dataset!A7:X46,13,0)</f>
        <v>37.200000000000003</v>
      </c>
      <c r="D12" s="11">
        <f>VLOOKUP(A12,Dataset!A7:$X$40,18,0)</f>
        <v>33.799999999999997</v>
      </c>
      <c r="E12" s="11">
        <f>VLOOKUP(A12,Dataset!A7:$X$40,20,0)</f>
        <v>67.900000000000006</v>
      </c>
      <c r="F12" s="11">
        <f>VLOOKUP(A12,Dataset!A7:$X$40,22,0)</f>
        <v>33.799999999999997</v>
      </c>
    </row>
    <row r="13" spans="1:7" ht="14.4" x14ac:dyDescent="0.3">
      <c r="A13" s="7" t="s">
        <v>15</v>
      </c>
      <c r="B13" s="11">
        <f>VLOOKUP(A13,Dataset!A8:$X$40,7,0)</f>
        <v>0</v>
      </c>
      <c r="C13" s="11">
        <f>VLOOKUP(A13,Dataset!A8:X47,13,0)</f>
        <v>0</v>
      </c>
      <c r="D13" s="11">
        <f>VLOOKUP(A13,Dataset!A8:$X$40,18,0)</f>
        <v>0</v>
      </c>
      <c r="E13" s="11">
        <f>VLOOKUP(A13,Dataset!A8:$X$40,20,0)</f>
        <v>0</v>
      </c>
      <c r="F13" s="11">
        <f>VLOOKUP(A13,Dataset!A8:$X$40,22,0)</f>
        <v>0</v>
      </c>
    </row>
    <row r="14" spans="1:7" ht="14.4" x14ac:dyDescent="0.3">
      <c r="A14" s="7" t="s">
        <v>16</v>
      </c>
      <c r="B14" s="11">
        <f>VLOOKUP(A14,Dataset!A9:$X$40,7,0)</f>
        <v>21.9</v>
      </c>
      <c r="C14" s="11">
        <f>VLOOKUP(A14,Dataset!A9:X48,13,0)</f>
        <v>42.3</v>
      </c>
      <c r="D14" s="11">
        <f>VLOOKUP(A14,Dataset!A9:$X$40,18,0)</f>
        <v>40.1</v>
      </c>
      <c r="E14" s="11">
        <f>VLOOKUP(A14,Dataset!A9:$X$40,20,0)</f>
        <v>76.599999999999994</v>
      </c>
      <c r="F14" s="11">
        <f>VLOOKUP(A14,Dataset!A9:$X$40,22,0)</f>
        <v>40.1</v>
      </c>
    </row>
    <row r="15" spans="1:7" ht="14.4" x14ac:dyDescent="0.3">
      <c r="A15" s="7" t="s">
        <v>18</v>
      </c>
      <c r="B15" s="11">
        <f>VLOOKUP(A15,Dataset!A10:$X$40,7,0)</f>
        <v>26.8</v>
      </c>
      <c r="C15" s="11">
        <f>VLOOKUP(A15,Dataset!A10:X49,13,0)</f>
        <v>54.6</v>
      </c>
      <c r="D15" s="11">
        <f>VLOOKUP(A15,Dataset!A10:$X$40,18,0)</f>
        <v>47.9</v>
      </c>
      <c r="E15" s="11">
        <f>VLOOKUP(A15,Dataset!A10:$X$40,20,0)</f>
        <v>96.8</v>
      </c>
      <c r="F15" s="11">
        <f>VLOOKUP(A15,Dataset!A10:$X$40,22,0)</f>
        <v>47.9</v>
      </c>
    </row>
    <row r="16" spans="1:7" ht="14.4" x14ac:dyDescent="0.3">
      <c r="A16" s="7" t="s">
        <v>20</v>
      </c>
      <c r="B16" s="11">
        <f>VLOOKUP(A16,Dataset!A11:$X$40,7,0)</f>
        <v>28.5</v>
      </c>
      <c r="C16" s="11">
        <f>VLOOKUP(A16,Dataset!A11:X50,13,0)</f>
        <v>58.3</v>
      </c>
      <c r="D16" s="11">
        <f>VLOOKUP(A16,Dataset!A11:$X$40,18,0)</f>
        <v>52.3</v>
      </c>
      <c r="E16" s="11">
        <f>VLOOKUP(A16,Dataset!A11:$X$40,20,0)</f>
        <v>106.1</v>
      </c>
      <c r="F16" s="11">
        <f>VLOOKUP(A16,Dataset!A11:$X$40,22,0)</f>
        <v>52.3</v>
      </c>
    </row>
    <row r="17" spans="1:6" ht="14.4" x14ac:dyDescent="0.3">
      <c r="A17" s="7" t="s">
        <v>22</v>
      </c>
      <c r="B17" s="11">
        <f>VLOOKUP(A17,Dataset!A12:$X$40,7,0)</f>
        <v>30.7</v>
      </c>
      <c r="C17" s="11">
        <f>VLOOKUP(A17,Dataset!A12:X51,13,0)</f>
        <v>62.5</v>
      </c>
      <c r="D17" s="11">
        <f>VLOOKUP(A17,Dataset!A12:$X$40,18,0)</f>
        <v>57</v>
      </c>
      <c r="E17" s="11">
        <f>VLOOKUP(A17,Dataset!A12:$X$40,20,0)</f>
        <v>115.1</v>
      </c>
      <c r="F17" s="11">
        <f>VLOOKUP(A17,Dataset!A12:$X$40,22,0)</f>
        <v>57</v>
      </c>
    </row>
    <row r="18" spans="1:6" ht="14.4" x14ac:dyDescent="0.3">
      <c r="A18" s="7" t="s">
        <v>23</v>
      </c>
      <c r="B18" s="11">
        <f>VLOOKUP(A18,Dataset!A13:$X$40,7,0)</f>
        <v>33.799999999999997</v>
      </c>
      <c r="C18" s="11">
        <f>VLOOKUP(A18,Dataset!A13:X52,13,0)</f>
        <v>67.900000000000006</v>
      </c>
      <c r="D18" s="11">
        <f>VLOOKUP(A18,Dataset!A13:$X$40,18,0)</f>
        <v>61.4</v>
      </c>
      <c r="E18" s="11">
        <f>VLOOKUP(A18,Dataset!A13:$X$40,20,0)</f>
        <v>124.4</v>
      </c>
      <c r="F18" s="11">
        <f>VLOOKUP(A18,Dataset!A13:$X$40,22,0)</f>
        <v>61.4</v>
      </c>
    </row>
    <row r="19" spans="1:6" ht="14.4" x14ac:dyDescent="0.3">
      <c r="A19" s="7" t="s">
        <v>24</v>
      </c>
      <c r="B19" s="11">
        <f>VLOOKUP(A19,Dataset!A14:$X$40,7,0)</f>
        <v>34.700000000000003</v>
      </c>
      <c r="C19" s="11">
        <f>VLOOKUP(A19,Dataset!A14:X53,13,0)</f>
        <v>70.8</v>
      </c>
      <c r="D19" s="11">
        <f>VLOOKUP(A19,Dataset!A14:$X$40,18,0)</f>
        <v>63.6</v>
      </c>
      <c r="E19" s="11">
        <f>VLOOKUP(A19,Dataset!A14:$X$40,20,0)</f>
        <v>128.6</v>
      </c>
      <c r="F19" s="11">
        <f>VLOOKUP(A19,Dataset!A14:$X$40,22,0)</f>
        <v>63.6</v>
      </c>
    </row>
    <row r="20" spans="1:6" ht="14.4" x14ac:dyDescent="0.3">
      <c r="A20" s="7" t="s">
        <v>28</v>
      </c>
      <c r="B20" s="11">
        <f>VLOOKUP(A20,Dataset!A15:$X$40,7,0)</f>
        <v>0</v>
      </c>
      <c r="C20" s="11">
        <f>VLOOKUP(A20,Dataset!A15:X54,13,0)</f>
        <v>0</v>
      </c>
      <c r="D20" s="11">
        <f>VLOOKUP(A20,Dataset!A15:$X$40,18,0)</f>
        <v>0</v>
      </c>
      <c r="E20" s="11">
        <f>VLOOKUP(A20,Dataset!A15:$X$40,20,0)</f>
        <v>0</v>
      </c>
      <c r="F20" s="11">
        <f>VLOOKUP(A20,Dataset!A15:$X$40,22,0)</f>
        <v>0</v>
      </c>
    </row>
    <row r="21" spans="1:6" ht="14.4" x14ac:dyDescent="0.3">
      <c r="A21" s="7" t="s">
        <v>56</v>
      </c>
      <c r="B21" s="11">
        <f>VLOOKUP(A21,Dataset!A16:$X$40,7,0)</f>
        <v>41.3</v>
      </c>
      <c r="C21" s="11">
        <f>VLOOKUP(A21,Dataset!A16:X55,13,0)</f>
        <v>83.5</v>
      </c>
      <c r="D21" s="11">
        <f>VLOOKUP(A21,Dataset!A16:$X$40,18,0)</f>
        <v>75</v>
      </c>
      <c r="E21" s="11">
        <f>VLOOKUP(A21,Dataset!A16:$X$40,20,0)</f>
        <v>151.5</v>
      </c>
      <c r="F21" s="11">
        <f>VLOOKUP(A21,Dataset!A16:$X$40,22,0)</f>
        <v>75</v>
      </c>
    </row>
    <row r="22" spans="1:6" ht="14.4" x14ac:dyDescent="0.3">
      <c r="A22" s="7" t="s">
        <v>57</v>
      </c>
      <c r="B22" s="11">
        <f>VLOOKUP(A22,Dataset!A17:$X$40,7,0)</f>
        <v>-1</v>
      </c>
      <c r="C22" s="11">
        <f>VLOOKUP(A22,Dataset!A17:X56,13,0)</f>
        <v>-1</v>
      </c>
      <c r="D22" s="11">
        <f>VLOOKUP(A22,Dataset!A17:$X$40,18,0)</f>
        <v>-1</v>
      </c>
      <c r="E22" s="11">
        <f>VLOOKUP(A22,Dataset!A17:$X$40,20,0)</f>
        <v>-1</v>
      </c>
      <c r="F22" s="11">
        <f>VLOOKUP(A22,Dataset!A17:$X$40,22,0)</f>
        <v>-1</v>
      </c>
    </row>
    <row r="23" spans="1:6" ht="14.4" x14ac:dyDescent="0.3">
      <c r="A23" s="7" t="s">
        <v>31</v>
      </c>
      <c r="B23" s="11">
        <f>VLOOKUP(A23,Dataset!A18:$X$40,7,0)</f>
        <v>45</v>
      </c>
      <c r="C23" s="11">
        <f>VLOOKUP(A23,Dataset!A18:X57,13,0)</f>
        <v>90.9</v>
      </c>
      <c r="D23" s="11">
        <f>VLOOKUP(A23,Dataset!A18:$X$40,18,0)</f>
        <v>79.400000000000006</v>
      </c>
      <c r="E23" s="11">
        <f>VLOOKUP(A23,Dataset!A18:$X$40,20,0)</f>
        <v>160.9</v>
      </c>
      <c r="F23" s="11">
        <f>VLOOKUP(A23,Dataset!A18:$X$40,22,0)</f>
        <v>79.400000000000006</v>
      </c>
    </row>
    <row r="24" spans="1:6" ht="14.4" x14ac:dyDescent="0.3">
      <c r="A24" s="7" t="s">
        <v>32</v>
      </c>
      <c r="B24" s="11">
        <f>VLOOKUP(A24,Dataset!A19:$X$40,7,0)</f>
        <v>-1</v>
      </c>
      <c r="C24" s="11">
        <f>VLOOKUP(A24,Dataset!A19:X58,13,0)</f>
        <v>-1</v>
      </c>
      <c r="D24" s="11">
        <f>VLOOKUP(A24,Dataset!A19:$X$40,18,0)</f>
        <v>-1</v>
      </c>
      <c r="E24" s="11">
        <f>VLOOKUP(A24,Dataset!A19:$X$40,20,0)</f>
        <v>-1</v>
      </c>
      <c r="F24" s="11">
        <f>VLOOKUP(A24,Dataset!A19:$X$40,22,0)</f>
        <v>-1</v>
      </c>
    </row>
    <row r="25" spans="1:6" ht="14.4" x14ac:dyDescent="0.3">
      <c r="A25" s="7" t="s">
        <v>34</v>
      </c>
      <c r="B25" s="11">
        <f>VLOOKUP(A25,Dataset!A20:$X$40,7,0)</f>
        <v>43.3</v>
      </c>
      <c r="C25" s="11">
        <f>VLOOKUP(A25,Dataset!A20:X59,13,0)</f>
        <v>87.6</v>
      </c>
      <c r="D25" s="11">
        <f>VLOOKUP(A25,Dataset!A20:$X$40,18,0)</f>
        <v>79.400000000000006</v>
      </c>
      <c r="E25" s="11">
        <f>VLOOKUP(A25,Dataset!A20:$X$40,20,0)</f>
        <v>160.9</v>
      </c>
      <c r="F25" s="11">
        <f>VLOOKUP(A25,Dataset!A20:$X$40,22,0)</f>
        <v>79.400000000000006</v>
      </c>
    </row>
    <row r="26" spans="1:6" ht="14.4" x14ac:dyDescent="0.3">
      <c r="A26" s="7" t="s">
        <v>37</v>
      </c>
      <c r="B26" s="11">
        <f>VLOOKUP(A26,Dataset!A21:$X$40,7,0)</f>
        <v>49.1</v>
      </c>
      <c r="C26" s="11">
        <f>VLOOKUP(A26,Dataset!A21:X60,13,0)</f>
        <v>99.5</v>
      </c>
      <c r="D26" s="11">
        <f>VLOOKUP(A26,Dataset!A21:$X$40,18,0)</f>
        <v>90.9</v>
      </c>
      <c r="E26" s="11">
        <f>VLOOKUP(A26,Dataset!A21:$X$40,20,0)</f>
        <v>183.5</v>
      </c>
      <c r="F26" s="11">
        <f>VLOOKUP(A26,Dataset!A21:$X$40,22,0)</f>
        <v>90.9</v>
      </c>
    </row>
    <row r="27" spans="1:6" ht="14.4" x14ac:dyDescent="0.3">
      <c r="A27" s="7" t="s">
        <v>39</v>
      </c>
      <c r="B27" s="11">
        <f>VLOOKUP(A27,Dataset!A22:$X$40,7,0)</f>
        <v>51.8</v>
      </c>
      <c r="C27" s="11">
        <f>VLOOKUP(A27,Dataset!A22:X61,13,0)</f>
        <v>104.5</v>
      </c>
      <c r="D27" s="11">
        <f>VLOOKUP(A27,Dataset!A22:$X$40,18,0)</f>
        <v>93.1</v>
      </c>
      <c r="E27" s="11">
        <f>VLOOKUP(A27,Dataset!A22:$X$40,20,0)</f>
        <v>188.1</v>
      </c>
      <c r="F27" s="11">
        <f>VLOOKUP(A27,Dataset!A22:$X$40,22,0)</f>
        <v>93.1</v>
      </c>
    </row>
    <row r="28" spans="1:6" ht="14.4" x14ac:dyDescent="0.3">
      <c r="A28" s="18" t="s">
        <v>81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4.4" x14ac:dyDescent="0.3">
      <c r="A29" s="18" t="s">
        <v>82</v>
      </c>
      <c r="B29" s="11">
        <f>MAX(B6:B27)</f>
        <v>51.8</v>
      </c>
      <c r="C29" s="11">
        <f t="shared" ref="C29:F29" si="1">MAX(C6:C27)</f>
        <v>104.5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 x14ac:dyDescent="0.3">
      <c r="A30" s="18" t="s">
        <v>83</v>
      </c>
      <c r="B30" s="11">
        <f>AVERAGE(B6:B27)</f>
        <v>20.827272727272728</v>
      </c>
      <c r="C30" s="11">
        <f t="shared" ref="C30:F30" si="2">AVERAGE(C6:C27)</f>
        <v>42.209090909090904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55</v>
      </c>
      <c r="B1" s="39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1" t="s">
        <v>52</v>
      </c>
      <c r="B5" s="38"/>
    </row>
    <row r="6" spans="1:10" ht="18" x14ac:dyDescent="0.35">
      <c r="A6" s="41" t="s">
        <v>152</v>
      </c>
      <c r="B6" s="38"/>
    </row>
    <row r="7" spans="1:10" ht="18" x14ac:dyDescent="0.35">
      <c r="A7" s="41"/>
      <c r="B7" s="38"/>
    </row>
    <row r="9" spans="1:10" ht="23.4" x14ac:dyDescent="0.45">
      <c r="A9" s="17" t="s">
        <v>164</v>
      </c>
      <c r="I9" s="2"/>
      <c r="J9" s="2"/>
    </row>
    <row r="10" spans="1:10" x14ac:dyDescent="0.3">
      <c r="A10" s="31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4" zoomScaleNormal="100" workbookViewId="0">
      <selection activeCell="D13" sqref="D1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84</v>
      </c>
      <c r="B1" s="39" t="s">
        <v>166</v>
      </c>
    </row>
    <row r="2" spans="1:3" ht="18" x14ac:dyDescent="0.35">
      <c r="B2" s="38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52</v>
      </c>
      <c r="B6" s="1" t="s">
        <v>179</v>
      </c>
    </row>
    <row r="7" spans="1:3" ht="14.4" x14ac:dyDescent="0.3">
      <c r="A7" s="3" t="s">
        <v>152</v>
      </c>
      <c r="B7" s="1" t="s">
        <v>180</v>
      </c>
    </row>
    <row r="10" spans="1:3" ht="23.4" x14ac:dyDescent="0.45">
      <c r="A10" s="17" t="s">
        <v>161</v>
      </c>
    </row>
    <row r="11" spans="1:3" ht="14.4" x14ac:dyDescent="0.3">
      <c r="A11" s="30" t="s">
        <v>85</v>
      </c>
      <c r="B11" s="16" t="s">
        <v>86</v>
      </c>
      <c r="C11" s="16" t="s">
        <v>87</v>
      </c>
    </row>
    <row r="12" spans="1:3" ht="14.4" x14ac:dyDescent="0.3">
      <c r="A12" s="30">
        <v>44927</v>
      </c>
      <c r="B12" s="16" t="s">
        <v>58</v>
      </c>
      <c r="C12" s="16">
        <v>200</v>
      </c>
    </row>
    <row r="13" spans="1:3" ht="14.4" x14ac:dyDescent="0.3">
      <c r="A13" s="30">
        <v>44928</v>
      </c>
      <c r="B13" s="16" t="s">
        <v>59</v>
      </c>
      <c r="C13" s="16" t="e">
        <v>#N/A</v>
      </c>
    </row>
    <row r="14" spans="1:3" ht="14.4" x14ac:dyDescent="0.3">
      <c r="A14" s="30">
        <v>44929</v>
      </c>
      <c r="B14" s="16" t="s">
        <v>60</v>
      </c>
      <c r="C14" s="16">
        <v>50</v>
      </c>
    </row>
    <row r="15" spans="1:3" ht="14.4" x14ac:dyDescent="0.3">
      <c r="A15" s="30">
        <v>44930</v>
      </c>
      <c r="B15" s="16" t="s">
        <v>61</v>
      </c>
      <c r="C15" s="16" t="e">
        <v>#N/A</v>
      </c>
    </row>
    <row r="16" spans="1:3" ht="14.4" x14ac:dyDescent="0.3">
      <c r="A16" s="30">
        <v>44931</v>
      </c>
      <c r="B16" s="16" t="s">
        <v>62</v>
      </c>
      <c r="C16" s="16">
        <v>10</v>
      </c>
    </row>
    <row r="17" spans="1:3" ht="14.4" x14ac:dyDescent="0.3">
      <c r="A17" s="30">
        <v>44932</v>
      </c>
      <c r="B17" s="16" t="s">
        <v>153</v>
      </c>
      <c r="C17" s="16">
        <v>150</v>
      </c>
    </row>
    <row r="18" spans="1:3" ht="14.4" x14ac:dyDescent="0.3">
      <c r="A18" s="30">
        <v>44933</v>
      </c>
      <c r="B18" s="16" t="s">
        <v>154</v>
      </c>
      <c r="C18" s="16">
        <v>80</v>
      </c>
    </row>
    <row r="19" spans="1:3" ht="14.4" x14ac:dyDescent="0.3">
      <c r="A19" s="30">
        <v>44934</v>
      </c>
      <c r="B19" s="16" t="s">
        <v>155</v>
      </c>
      <c r="C19" s="16" t="e">
        <v>#N/A</v>
      </c>
    </row>
    <row r="20" spans="1:3" ht="14.4" x14ac:dyDescent="0.3">
      <c r="A20" s="30">
        <v>44935</v>
      </c>
      <c r="B20" s="16" t="s">
        <v>156</v>
      </c>
      <c r="C20" s="16">
        <v>30</v>
      </c>
    </row>
    <row r="21" spans="1:3" ht="14.4" x14ac:dyDescent="0.3">
      <c r="A21" s="30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>
        <f>SUM(IFERROR(C12:C21, 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D38" sqref="D3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97</v>
      </c>
      <c r="B1" s="39" t="s">
        <v>174</v>
      </c>
    </row>
    <row r="3" spans="1:14" ht="14.4" x14ac:dyDescent="0.3">
      <c r="B3" s="1" t="s">
        <v>150</v>
      </c>
    </row>
    <row r="4" spans="1:14" ht="18" x14ac:dyDescent="0.35">
      <c r="A4" s="41" t="s">
        <v>52</v>
      </c>
      <c r="B4" s="1"/>
      <c r="C4" s="2" t="s">
        <v>181</v>
      </c>
    </row>
    <row r="5" spans="1:14" ht="18" x14ac:dyDescent="0.35">
      <c r="A5" s="41" t="s">
        <v>152</v>
      </c>
      <c r="B5" s="1"/>
      <c r="C5" s="2" t="s">
        <v>182</v>
      </c>
    </row>
    <row r="6" spans="1:14" ht="14.4" x14ac:dyDescent="0.3">
      <c r="A6" s="3"/>
      <c r="B6" s="1"/>
      <c r="C6" s="2" t="s">
        <v>183</v>
      </c>
    </row>
    <row r="7" spans="1:14" x14ac:dyDescent="0.3">
      <c r="C7" s="2" t="s">
        <v>184</v>
      </c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167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2">
        <f>INDEX($B$10:$J$18,MATCH(VLOOKUP(A23,$M$9:$N$18,2,0),$A$10:$A$18,0),MATCH(VLOOKUP(B23,$M$9:$N$18,2,0),$B$9:$J$9,0))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INDEX($B$10:$J$18,MATCH(VLOOKUP(A24,$M$9:$N$18,2,0),$A$10:$A$18,0),MATCH(VLOOKUP(B24,$M$9:$N$18,2,0),$B$9:$J$9,0))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8">
        <v>10112</v>
      </c>
      <c r="B35" s="12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Ajay Kasbe</cp:lastModifiedBy>
  <cp:lastPrinted>2023-12-09T15:18:57Z</cp:lastPrinted>
  <dcterms:created xsi:type="dcterms:W3CDTF">2015-02-10T17:33:11Z</dcterms:created>
  <dcterms:modified xsi:type="dcterms:W3CDTF">2023-12-10T06:40:00Z</dcterms:modified>
</cp:coreProperties>
</file>